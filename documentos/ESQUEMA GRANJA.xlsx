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Desktop\Gallinas SG&amp;CR\"/>
    </mc:Choice>
  </mc:AlternateContent>
  <bookViews>
    <workbookView xWindow="0" yWindow="0" windowWidth="2370" windowHeight="0"/>
  </bookViews>
  <sheets>
    <sheet name="GALPONES" sheetId="1" r:id="rId1"/>
    <sheet name="SEPARADO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E15" i="2" l="1"/>
  <c r="D15" i="2"/>
  <c r="D12" i="2"/>
  <c r="D14" i="2"/>
  <c r="F14" i="2"/>
  <c r="F13" i="2"/>
  <c r="E13" i="2"/>
  <c r="D9" i="2"/>
  <c r="F12" i="2"/>
  <c r="D13" i="2"/>
  <c r="D8" i="2"/>
  <c r="D10" i="2"/>
  <c r="E10" i="2"/>
  <c r="E9" i="2"/>
  <c r="E14" i="2"/>
  <c r="D11" i="2"/>
  <c r="E12" i="2"/>
  <c r="E11" i="2"/>
  <c r="F11" i="2" s="1"/>
  <c r="F15" i="2"/>
  <c r="F8" i="2"/>
  <c r="M16" i="1"/>
  <c r="D16" i="1"/>
  <c r="F16" i="2" l="1"/>
  <c r="F9" i="2"/>
  <c r="F10" i="2"/>
</calcChain>
</file>

<file path=xl/sharedStrings.xml><?xml version="1.0" encoding="utf-8"?>
<sst xmlns="http://schemas.openxmlformats.org/spreadsheetml/2006/main" count="59" uniqueCount="34">
  <si>
    <t>GALPONES CAMPO ROJO</t>
  </si>
  <si>
    <t>GALPON 1</t>
  </si>
  <si>
    <t>C1</t>
  </si>
  <si>
    <t>C2</t>
  </si>
  <si>
    <t>AVES</t>
  </si>
  <si>
    <t>GALPON 2</t>
  </si>
  <si>
    <t>C3</t>
  </si>
  <si>
    <t>TOTAL</t>
  </si>
  <si>
    <t>GALPONES SAN GONZALO</t>
  </si>
  <si>
    <t>C4</t>
  </si>
  <si>
    <t>C5</t>
  </si>
  <si>
    <t>HORARIO DE RECOLECCION DE CAMPO ROJO</t>
  </si>
  <si>
    <t>EN LA MAÑANA</t>
  </si>
  <si>
    <t>EN LA TARDE</t>
  </si>
  <si>
    <t>HORARIO DE RECOLECCION DE SAN GONZALO</t>
  </si>
  <si>
    <t>7 DE 129</t>
  </si>
  <si>
    <t>BULTOS</t>
  </si>
  <si>
    <t>BULTOS DE 140</t>
  </si>
  <si>
    <t>BULTOS REVISADOS</t>
  </si>
  <si>
    <t>FALTANTE</t>
  </si>
  <si>
    <t>27 DE 134</t>
  </si>
  <si>
    <t>14 DE 137</t>
  </si>
  <si>
    <t>8 DE 132</t>
  </si>
  <si>
    <t>10 DE 152</t>
  </si>
  <si>
    <t>6 DE 126</t>
  </si>
  <si>
    <t>12 DE 136</t>
  </si>
  <si>
    <t>3 DE 139</t>
  </si>
  <si>
    <t>CANTIDAD</t>
  </si>
  <si>
    <t>PRESENTACION</t>
  </si>
  <si>
    <t>SACOS</t>
  </si>
  <si>
    <t>DIARIOS</t>
  </si>
  <si>
    <t>ALIMENTO</t>
  </si>
  <si>
    <t>FECHA DE INGRESO</t>
  </si>
  <si>
    <t>VIDA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</si>
</sst>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2" xfId="0" applyFont="1" applyBorder="1"/>
    <xf numFmtId="0" fontId="0" fillId="0" borderId="3" xfId="0" applyBorder="1"/>
    <xf numFmtId="0" fontId="1" fillId="5" borderId="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4" fillId="0" borderId="2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5" fillId="9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" fontId="1" fillId="2" borderId="4" xfId="0" applyNumberFormat="1" applyFont="1" applyFill="1" applyBorder="1"/>
    <xf numFmtId="18" fontId="1" fillId="2" borderId="6" xfId="0" applyNumberFormat="1" applyFont="1" applyFill="1" applyBorder="1"/>
    <xf numFmtId="20" fontId="1" fillId="10" borderId="9" xfId="0" applyNumberFormat="1" applyFont="1" applyFill="1" applyBorder="1" applyAlignment="1">
      <alignment horizontal="center" vertical="center"/>
    </xf>
    <xf numFmtId="18" fontId="1" fillId="12" borderId="4" xfId="0" applyNumberFormat="1" applyFont="1" applyFill="1" applyBorder="1"/>
    <xf numFmtId="18" fontId="1" fillId="12" borderId="6" xfId="0" applyNumberFormat="1" applyFont="1" applyFill="1" applyBorder="1"/>
    <xf numFmtId="18" fontId="1" fillId="14" borderId="6" xfId="0" applyNumberFormat="1" applyFont="1" applyFill="1" applyBorder="1"/>
    <xf numFmtId="18" fontId="1" fillId="14" borderId="9" xfId="0" applyNumberFormat="1" applyFont="1" applyFill="1" applyBorder="1"/>
    <xf numFmtId="0" fontId="1" fillId="14" borderId="10" xfId="0" applyFont="1" applyFill="1" applyBorder="1" applyAlignment="1">
      <alignment horizontal="center" wrapText="1"/>
    </xf>
    <xf numFmtId="0" fontId="1" fillId="14" borderId="11" xfId="0" applyFont="1" applyFill="1" applyBorder="1" applyAlignment="1">
      <alignment horizontal="center" wrapText="1"/>
    </xf>
    <xf numFmtId="0" fontId="1" fillId="14" borderId="12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3" fillId="16" borderId="10" xfId="0" applyFont="1" applyFill="1" applyBorder="1" applyAlignment="1">
      <alignment horizontal="center" wrapText="1"/>
    </xf>
    <xf numFmtId="0" fontId="3" fillId="16" borderId="11" xfId="0" applyFont="1" applyFill="1" applyBorder="1" applyAlignment="1">
      <alignment horizontal="center" wrapText="1"/>
    </xf>
    <xf numFmtId="0" fontId="3" fillId="16" borderId="12" xfId="0" applyFont="1" applyFill="1" applyBorder="1" applyAlignment="1">
      <alignment horizontal="center" wrapText="1"/>
    </xf>
    <xf numFmtId="0" fontId="3" fillId="15" borderId="10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4" fillId="18" borderId="8" xfId="0" applyFont="1" applyFill="1" applyBorder="1" applyAlignment="1">
      <alignment horizontal="center"/>
    </xf>
    <xf numFmtId="0" fontId="3" fillId="0" borderId="5" xfId="0" applyFont="1" applyBorder="1"/>
    <xf numFmtId="0" fontId="3" fillId="16" borderId="0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" fillId="18" borderId="3" xfId="0" applyFont="1" applyFill="1" applyBorder="1" applyAlignment="1">
      <alignment horizontal="center" wrapText="1"/>
    </xf>
    <xf numFmtId="0" fontId="1" fillId="20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vertical="center" wrapText="1"/>
    </xf>
    <xf numFmtId="0" fontId="0" fillId="8" borderId="0" xfId="0" applyFill="1" applyBorder="1"/>
    <xf numFmtId="0" fontId="0" fillId="19" borderId="6" xfId="0" applyFill="1" applyBorder="1"/>
    <xf numFmtId="0" fontId="0" fillId="18" borderId="6" xfId="0" applyFill="1" applyBorder="1"/>
    <xf numFmtId="0" fontId="0" fillId="10" borderId="6" xfId="0" applyFill="1" applyBorder="1"/>
    <xf numFmtId="0" fontId="0" fillId="19" borderId="0" xfId="0" applyFill="1" applyBorder="1"/>
    <xf numFmtId="0" fontId="0" fillId="6" borderId="0" xfId="0" applyFill="1" applyBorder="1"/>
    <xf numFmtId="0" fontId="0" fillId="21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8"/>
  <sheetViews>
    <sheetView tabSelected="1" topLeftCell="D1" workbookViewId="0">
      <selection activeCell="I10" sqref="I10"/>
    </sheetView>
  </sheetViews>
  <sheetFormatPr baseColWidth="10" defaultRowHeight="15" x14ac:dyDescent="0.25"/>
  <cols>
    <col min="2" max="2" width="11" customWidth="1"/>
    <col min="3" max="3" width="15.85546875" customWidth="1"/>
    <col min="12" max="12" width="16.28515625" customWidth="1"/>
  </cols>
  <sheetData>
    <row r="3" spans="2:16" ht="15.75" thickBot="1" x14ac:dyDescent="0.3"/>
    <row r="4" spans="2:16" ht="23.25" customHeight="1" thickBot="1" x14ac:dyDescent="0.4">
      <c r="B4" s="51" t="s">
        <v>0</v>
      </c>
      <c r="C4" s="52"/>
      <c r="D4" s="52"/>
      <c r="E4" s="52"/>
      <c r="F4" s="53"/>
      <c r="G4" s="73"/>
      <c r="H4" s="73"/>
      <c r="K4" s="54" t="s">
        <v>8</v>
      </c>
      <c r="L4" s="55"/>
      <c r="M4" s="55"/>
      <c r="N4" s="55"/>
      <c r="O4" s="56"/>
    </row>
    <row r="6" spans="2:16" ht="15.75" thickBot="1" x14ac:dyDescent="0.3"/>
    <row r="7" spans="2:16" ht="31.5" x14ac:dyDescent="0.35">
      <c r="C7" s="3" t="s">
        <v>1</v>
      </c>
      <c r="D7" s="4"/>
      <c r="E7" s="4"/>
      <c r="F7" s="79" t="s">
        <v>32</v>
      </c>
      <c r="G7" s="80" t="s">
        <v>33</v>
      </c>
      <c r="L7" s="14" t="s">
        <v>1</v>
      </c>
      <c r="M7" s="4"/>
      <c r="N7" s="4"/>
      <c r="O7" s="81" t="s">
        <v>32</v>
      </c>
      <c r="P7" s="82" t="s">
        <v>33</v>
      </c>
    </row>
    <row r="8" spans="2:16" ht="18.75" x14ac:dyDescent="0.3">
      <c r="C8" s="12" t="s">
        <v>2</v>
      </c>
      <c r="D8" s="5">
        <v>1553</v>
      </c>
      <c r="E8" s="74" t="s">
        <v>4</v>
      </c>
      <c r="F8" s="83"/>
      <c r="G8" s="84"/>
      <c r="L8" s="19" t="s">
        <v>2</v>
      </c>
      <c r="M8" s="20">
        <v>2195</v>
      </c>
      <c r="N8" s="78" t="s">
        <v>4</v>
      </c>
      <c r="O8" s="89"/>
      <c r="P8" s="85"/>
    </row>
    <row r="9" spans="2:16" ht="18.75" x14ac:dyDescent="0.3">
      <c r="C9" s="12" t="s">
        <v>3</v>
      </c>
      <c r="D9" s="5">
        <v>3585</v>
      </c>
      <c r="E9" s="74" t="s">
        <v>4</v>
      </c>
      <c r="F9" s="83"/>
      <c r="G9" s="84"/>
      <c r="L9" s="19" t="s">
        <v>3</v>
      </c>
      <c r="M9" s="20">
        <v>2043</v>
      </c>
      <c r="N9" s="78" t="s">
        <v>4</v>
      </c>
      <c r="O9" s="89"/>
      <c r="P9" s="85"/>
    </row>
    <row r="10" spans="2:16" ht="18.75" x14ac:dyDescent="0.3">
      <c r="C10" s="6"/>
      <c r="D10" s="7"/>
      <c r="E10" s="75"/>
      <c r="F10" s="16"/>
      <c r="G10" s="17"/>
      <c r="L10" s="19" t="s">
        <v>6</v>
      </c>
      <c r="M10" s="20">
        <v>3778</v>
      </c>
      <c r="N10" s="78" t="s">
        <v>4</v>
      </c>
      <c r="O10" s="89"/>
      <c r="P10" s="85"/>
    </row>
    <row r="11" spans="2:16" x14ac:dyDescent="0.25">
      <c r="C11" s="6"/>
      <c r="D11" s="7"/>
      <c r="E11" s="75"/>
      <c r="F11" s="16"/>
      <c r="G11" s="17"/>
      <c r="L11" s="15"/>
      <c r="M11" s="16"/>
      <c r="N11" s="16"/>
      <c r="O11" s="16"/>
      <c r="P11" s="17"/>
    </row>
    <row r="12" spans="2:16" ht="23.25" x14ac:dyDescent="0.35">
      <c r="C12" s="11" t="s">
        <v>5</v>
      </c>
      <c r="D12" s="7"/>
      <c r="E12" s="75"/>
      <c r="F12" s="16"/>
      <c r="G12" s="17"/>
      <c r="L12" s="72" t="s">
        <v>5</v>
      </c>
      <c r="M12" s="16"/>
      <c r="N12" s="16"/>
      <c r="O12" s="16"/>
      <c r="P12" s="17"/>
    </row>
    <row r="13" spans="2:16" ht="18.75" x14ac:dyDescent="0.3">
      <c r="C13" s="13" t="s">
        <v>6</v>
      </c>
      <c r="D13" s="8">
        <v>2137</v>
      </c>
      <c r="E13" s="76" t="s">
        <v>4</v>
      </c>
      <c r="F13" s="87"/>
      <c r="G13" s="85"/>
      <c r="L13" s="18" t="s">
        <v>9</v>
      </c>
      <c r="M13" s="5">
        <v>1181</v>
      </c>
      <c r="N13" s="78" t="s">
        <v>4</v>
      </c>
      <c r="O13" s="88"/>
      <c r="P13" s="86"/>
    </row>
    <row r="14" spans="2:16" ht="18.75" x14ac:dyDescent="0.3">
      <c r="C14" s="6"/>
      <c r="D14" s="7"/>
      <c r="E14" s="75"/>
      <c r="F14" s="16"/>
      <c r="G14" s="17"/>
      <c r="L14" s="18" t="s">
        <v>10</v>
      </c>
      <c r="M14" s="5">
        <v>918</v>
      </c>
      <c r="N14" s="78" t="s">
        <v>4</v>
      </c>
      <c r="O14" s="88"/>
      <c r="P14" s="86"/>
    </row>
    <row r="15" spans="2:16" x14ac:dyDescent="0.25">
      <c r="C15" s="6"/>
      <c r="D15" s="7"/>
      <c r="E15" s="75"/>
      <c r="F15" s="16"/>
      <c r="G15" s="17"/>
      <c r="L15" s="15"/>
      <c r="M15" s="16"/>
      <c r="N15" s="16"/>
      <c r="O15" s="16"/>
      <c r="P15" s="17"/>
    </row>
    <row r="16" spans="2:16" ht="15.75" thickBot="1" x14ac:dyDescent="0.3">
      <c r="C16" s="9" t="s">
        <v>7</v>
      </c>
      <c r="D16" s="10">
        <f>+D8+D9+D13</f>
        <v>7275</v>
      </c>
      <c r="E16" s="77" t="s">
        <v>4</v>
      </c>
      <c r="F16" s="63"/>
      <c r="G16" s="64"/>
      <c r="L16" s="9" t="s">
        <v>7</v>
      </c>
      <c r="M16" s="10">
        <f>+M8+M9+M13+M10+M14</f>
        <v>10115</v>
      </c>
      <c r="N16" s="77" t="s">
        <v>4</v>
      </c>
      <c r="O16" s="63"/>
      <c r="P16" s="64"/>
    </row>
    <row r="17" spans="2:15" x14ac:dyDescent="0.25">
      <c r="D17" s="2"/>
    </row>
    <row r="19" spans="2:15" ht="21" x14ac:dyDescent="0.35">
      <c r="B19" s="57" t="s">
        <v>11</v>
      </c>
      <c r="C19" s="57"/>
      <c r="D19" s="57"/>
      <c r="E19" s="57"/>
      <c r="F19" s="57"/>
      <c r="G19" s="21"/>
      <c r="H19" s="21"/>
      <c r="K19" s="57" t="s">
        <v>14</v>
      </c>
      <c r="L19" s="57"/>
      <c r="M19" s="57"/>
      <c r="N19" s="57"/>
      <c r="O19" s="57"/>
    </row>
    <row r="20" spans="2:15" ht="15.75" thickBot="1" x14ac:dyDescent="0.3"/>
    <row r="21" spans="2:15" ht="15" customHeight="1" x14ac:dyDescent="0.25">
      <c r="C21" s="45" t="s">
        <v>12</v>
      </c>
      <c r="D21" s="46"/>
      <c r="E21" s="22">
        <v>0.33333333333333331</v>
      </c>
      <c r="L21" s="58" t="s">
        <v>12</v>
      </c>
      <c r="M21" s="59"/>
      <c r="N21" s="25">
        <v>0.375</v>
      </c>
    </row>
    <row r="22" spans="2:15" ht="15" customHeight="1" x14ac:dyDescent="0.25">
      <c r="C22" s="47"/>
      <c r="D22" s="48"/>
      <c r="E22" s="23">
        <v>0.45833333333333331</v>
      </c>
      <c r="L22" s="60"/>
      <c r="M22" s="61"/>
      <c r="N22" s="26">
        <v>0.45833333333333331</v>
      </c>
    </row>
    <row r="23" spans="2:15" ht="19.5" thickBot="1" x14ac:dyDescent="0.35">
      <c r="C23" s="49" t="s">
        <v>13</v>
      </c>
      <c r="D23" s="50"/>
      <c r="E23" s="24">
        <v>0.64583333333333337</v>
      </c>
      <c r="L23" s="41" t="s">
        <v>13</v>
      </c>
      <c r="M23" s="42"/>
      <c r="N23" s="27">
        <v>0.54166666666666663</v>
      </c>
    </row>
    <row r="24" spans="2:15" ht="15.75" thickBot="1" x14ac:dyDescent="0.3">
      <c r="L24" s="43"/>
      <c r="M24" s="44"/>
      <c r="N24" s="28">
        <v>0.625</v>
      </c>
    </row>
    <row r="26" spans="2:15" ht="21.75" thickBot="1" x14ac:dyDescent="0.4">
      <c r="B26" s="71" t="s">
        <v>31</v>
      </c>
      <c r="C26" s="71"/>
      <c r="D26" s="71"/>
      <c r="K26" s="71" t="s">
        <v>31</v>
      </c>
      <c r="L26" s="71"/>
      <c r="M26" s="71"/>
    </row>
    <row r="27" spans="2:15" x14ac:dyDescent="0.25">
      <c r="B27" s="69" t="s">
        <v>27</v>
      </c>
      <c r="C27" s="70" t="s">
        <v>28</v>
      </c>
      <c r="D27" s="65"/>
      <c r="K27" s="69" t="s">
        <v>27</v>
      </c>
      <c r="L27" s="70" t="s">
        <v>28</v>
      </c>
      <c r="M27" s="65"/>
    </row>
    <row r="28" spans="2:15" ht="15.75" thickBot="1" x14ac:dyDescent="0.3">
      <c r="B28" s="66">
        <v>21</v>
      </c>
      <c r="C28" s="67" t="s">
        <v>29</v>
      </c>
      <c r="D28" s="68" t="s">
        <v>30</v>
      </c>
      <c r="K28" s="66">
        <v>29</v>
      </c>
      <c r="L28" s="67" t="s">
        <v>29</v>
      </c>
      <c r="M28" s="68" t="s">
        <v>30</v>
      </c>
    </row>
  </sheetData>
  <mergeCells count="10">
    <mergeCell ref="K26:M26"/>
    <mergeCell ref="B26:D26"/>
    <mergeCell ref="L23:M24"/>
    <mergeCell ref="C21:D22"/>
    <mergeCell ref="C23:D23"/>
    <mergeCell ref="B4:F4"/>
    <mergeCell ref="K4:O4"/>
    <mergeCell ref="B19:F19"/>
    <mergeCell ref="K19:O19"/>
    <mergeCell ref="L21:M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16"/>
  <sheetViews>
    <sheetView workbookViewId="0">
      <selection activeCell="F16" sqref="F16"/>
    </sheetView>
  </sheetViews>
  <sheetFormatPr baseColWidth="10" defaultRowHeight="15" x14ac:dyDescent="0.25"/>
  <sheetData>
    <row r="5" spans="3:6" ht="15.75" thickBot="1" x14ac:dyDescent="0.3"/>
    <row r="6" spans="3:6" ht="30.75" thickBot="1" x14ac:dyDescent="0.3">
      <c r="C6" s="29" t="s">
        <v>16</v>
      </c>
      <c r="D6" s="30" t="s">
        <v>18</v>
      </c>
      <c r="E6" s="30" t="s">
        <v>17</v>
      </c>
      <c r="F6" s="31" t="s">
        <v>19</v>
      </c>
    </row>
    <row r="7" spans="3:6" ht="15.75" thickBot="1" x14ac:dyDescent="0.3"/>
    <row r="8" spans="3:6" x14ac:dyDescent="0.25">
      <c r="C8" s="32" t="s">
        <v>22</v>
      </c>
      <c r="D8" s="33">
        <f>8*132</f>
        <v>1056</v>
      </c>
      <c r="E8" s="33">
        <f>8*140</f>
        <v>1120</v>
      </c>
      <c r="F8" s="34">
        <f>+E8-D8</f>
        <v>64</v>
      </c>
    </row>
    <row r="9" spans="3:6" x14ac:dyDescent="0.25">
      <c r="C9" s="35" t="s">
        <v>20</v>
      </c>
      <c r="D9" s="36">
        <f>27*134</f>
        <v>3618</v>
      </c>
      <c r="E9" s="36">
        <f>27*140</f>
        <v>3780</v>
      </c>
      <c r="F9" s="37">
        <f>+E9-D9</f>
        <v>162</v>
      </c>
    </row>
    <row r="10" spans="3:6" x14ac:dyDescent="0.25">
      <c r="C10" s="35" t="s">
        <v>21</v>
      </c>
      <c r="D10" s="36">
        <f>14*137</f>
        <v>1918</v>
      </c>
      <c r="E10" s="36">
        <f>14*140</f>
        <v>1960</v>
      </c>
      <c r="F10" s="37">
        <f>+E10-D10</f>
        <v>42</v>
      </c>
    </row>
    <row r="11" spans="3:6" x14ac:dyDescent="0.25">
      <c r="C11" s="35" t="s">
        <v>15</v>
      </c>
      <c r="D11" s="36">
        <f>7*129</f>
        <v>903</v>
      </c>
      <c r="E11" s="36">
        <f>7*140</f>
        <v>980</v>
      </c>
      <c r="F11" s="37">
        <f>+E11-D11</f>
        <v>77</v>
      </c>
    </row>
    <row r="12" spans="3:6" x14ac:dyDescent="0.25">
      <c r="C12" s="35" t="s">
        <v>25</v>
      </c>
      <c r="D12" s="36">
        <f>12*136</f>
        <v>1632</v>
      </c>
      <c r="E12" s="36">
        <f>12*140</f>
        <v>1680</v>
      </c>
      <c r="F12" s="37">
        <f>+E12-D12</f>
        <v>48</v>
      </c>
    </row>
    <row r="13" spans="3:6" x14ac:dyDescent="0.25">
      <c r="C13" s="35" t="s">
        <v>23</v>
      </c>
      <c r="D13" s="36">
        <f>10*152</f>
        <v>1520</v>
      </c>
      <c r="E13" s="36">
        <f>10*140</f>
        <v>1400</v>
      </c>
      <c r="F13" s="37">
        <f>+D13-E13</f>
        <v>120</v>
      </c>
    </row>
    <row r="14" spans="3:6" x14ac:dyDescent="0.25">
      <c r="C14" s="35" t="s">
        <v>24</v>
      </c>
      <c r="D14" s="36">
        <f>6*126</f>
        <v>756</v>
      </c>
      <c r="E14" s="36">
        <f>140*6</f>
        <v>840</v>
      </c>
      <c r="F14" s="37">
        <f>E14-D14</f>
        <v>84</v>
      </c>
    </row>
    <row r="15" spans="3:6" ht="15.75" thickBot="1" x14ac:dyDescent="0.3">
      <c r="C15" s="38" t="s">
        <v>26</v>
      </c>
      <c r="D15" s="39">
        <f>3*139</f>
        <v>417</v>
      </c>
      <c r="E15" s="39">
        <f>3*140</f>
        <v>420</v>
      </c>
      <c r="F15" s="40">
        <f>+E15-D15</f>
        <v>3</v>
      </c>
    </row>
    <row r="16" spans="3:6" ht="15.75" thickBot="1" x14ac:dyDescent="0.3">
      <c r="E16" s="1" t="s">
        <v>7</v>
      </c>
      <c r="F16" s="62">
        <f>SUM(F8:F15)</f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GALPONES</vt:lpstr>
      <vt:lpstr>SEPARADORES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2020-08-11T20:16:37Z</dcterms:created>
  <dcterms:modified xsi:type="dcterms:W3CDTF">2020-08-17T15:05:13Z</dcterms:modified>
</cp:coreProperties>
</file>